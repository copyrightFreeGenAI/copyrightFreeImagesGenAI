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onyxu/Documents/Masters/Research/Marketing/"/>
    </mc:Choice>
  </mc:AlternateContent>
  <xr:revisionPtr revIDLastSave="0" documentId="13_ncr:1_{606EA3E7-7464-5343-B3F6-CC325D3FC43E}" xr6:coauthVersionLast="47" xr6:coauthVersionMax="47" xr10:uidLastSave="{00000000-0000-0000-0000-000000000000}"/>
  <bookViews>
    <workbookView xWindow="34620" yWindow="4080" windowWidth="25400" windowHeight="15700" activeTab="1" xr2:uid="{00000000-000D-0000-FFFF-FFFF00000000}"/>
  </bookViews>
  <sheets>
    <sheet name="Formatted Report" sheetId="1" r:id="rId1"/>
    <sheet name="per platform" sheetId="3" r:id="rId2"/>
    <sheet name="Raw Data Report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3" i="3"/>
  <c r="C13" i="3"/>
  <c r="D17" i="1"/>
  <c r="D16" i="3"/>
  <c r="C16" i="3"/>
  <c r="D20" i="1"/>
  <c r="C20" i="1"/>
  <c r="C19" i="1"/>
  <c r="D19" i="1"/>
  <c r="D18" i="1"/>
  <c r="C18" i="1"/>
  <c r="D15" i="3"/>
  <c r="C15" i="3"/>
  <c r="D14" i="3"/>
  <c r="C14" i="3"/>
</calcChain>
</file>

<file path=xl/sharedStrings.xml><?xml version="1.0" encoding="utf-8"?>
<sst xmlns="http://schemas.openxmlformats.org/spreadsheetml/2006/main" count="264" uniqueCount="57">
  <si>
    <t>Untitled report Sep-1-2024 to Oct-31-2024</t>
  </si>
  <si>
    <t/>
  </si>
  <si>
    <t>Report Period: Sep 1, 2024 - Oct 31, 2024</t>
  </si>
  <si>
    <t>Ad set name</t>
  </si>
  <si>
    <t>Age</t>
  </si>
  <si>
    <t>Gender</t>
  </si>
  <si>
    <t>Results</t>
  </si>
  <si>
    <t>Reach</t>
  </si>
  <si>
    <t>Frequency</t>
  </si>
  <si>
    <t>Cost per result</t>
  </si>
  <si>
    <t>Amount spent (CAD)</t>
  </si>
  <si>
    <t>Impressions</t>
  </si>
  <si>
    <t>CPM (cost per 1,000 impressions)</t>
  </si>
  <si>
    <t>Link clicks</t>
  </si>
  <si>
    <t>CPC (cost per link click)</t>
  </si>
  <si>
    <t>CTR (link click-through rate)</t>
  </si>
  <si>
    <t>Clicks (all)</t>
  </si>
  <si>
    <t>CTR (all)</t>
  </si>
  <si>
    <t>CPC (all)</t>
  </si>
  <si>
    <t>Video plays</t>
  </si>
  <si>
    <t>3-second video plays</t>
  </si>
  <si>
    <t>ThruPlays</t>
  </si>
  <si>
    <t>Post comments</t>
  </si>
  <si>
    <t>Post engagements</t>
  </si>
  <si>
    <t>Post reactions</t>
  </si>
  <si>
    <t>Post saves</t>
  </si>
  <si>
    <t>Post shares</t>
  </si>
  <si>
    <t>Real_broad_a_18-23_09/30/24_10/13/24_en_fb-ig</t>
  </si>
  <si>
    <t>All</t>
  </si>
  <si>
    <t>18-24</t>
  </si>
  <si>
    <t>male</t>
  </si>
  <si>
    <t>female</t>
  </si>
  <si>
    <t>unknown</t>
  </si>
  <si>
    <t>AI_broad_a_18-23_09/30/24_10/13/24_en_fb-ig</t>
  </si>
  <si>
    <t>This is raw data. See Sheet 1 for a formatted report.</t>
  </si>
  <si>
    <t>Delivery status</t>
  </si>
  <si>
    <t>Delivery level</t>
  </si>
  <si>
    <t>Attribution setting</t>
  </si>
  <si>
    <t>Result type</t>
  </si>
  <si>
    <t>Cost per landing page view</t>
  </si>
  <si>
    <t>Reporting starts</t>
  </si>
  <si>
    <t>Reporting ends</t>
  </si>
  <si>
    <t>not_delivering</t>
  </si>
  <si>
    <t>adset</t>
  </si>
  <si>
    <t>7-day click or 1-day view</t>
  </si>
  <si>
    <t>2024-09-01</t>
  </si>
  <si>
    <t>2024-10-31</t>
  </si>
  <si>
    <t>Platform</t>
  </si>
  <si>
    <t>instagram</t>
  </si>
  <si>
    <t>facebook</t>
  </si>
  <si>
    <t>Facebook</t>
  </si>
  <si>
    <t>Instagram</t>
  </si>
  <si>
    <t>CPC</t>
  </si>
  <si>
    <t>CTR</t>
  </si>
  <si>
    <t>CPM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</si>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</sst>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0.0%"/>
  </numFmts>
  <fonts count="7" x14ac:knownFonts="1"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8"/>
      <color rgb="FFFFFFFF"/>
      <name val="Calibri"/>
      <family val="2"/>
    </font>
    <font>
      <sz val="11"/>
      <color rgb="FFFFFFFF"/>
      <name val="Calibri"/>
      <family val="2"/>
    </font>
    <font>
      <u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1596C"/>
      </patternFill>
    </fill>
    <fill>
      <patternFill patternType="solid">
        <fgColor rgb="FFA0B0B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1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2" fontId="1" fillId="2" borderId="6" xfId="0" applyNumberFormat="1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1" fontId="1" fillId="2" borderId="5" xfId="0" applyNumberFormat="1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" fontId="1" fillId="2" borderId="8" xfId="0" applyNumberFormat="1" applyFont="1" applyFill="1" applyBorder="1" applyAlignment="1">
      <alignment horizontal="left" vertical="center"/>
    </xf>
    <xf numFmtId="2" fontId="1" fillId="2" borderId="8" xfId="0" applyNumberFormat="1" applyFont="1" applyFill="1" applyBorder="1" applyAlignment="1">
      <alignment horizontal="left" vertical="center"/>
    </xf>
    <xf numFmtId="164" fontId="1" fillId="2" borderId="8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9" fontId="1" fillId="2" borderId="1" xfId="2" applyFont="1" applyFill="1" applyBorder="1" applyAlignment="1">
      <alignment horizontal="left" vertical="center"/>
    </xf>
    <xf numFmtId="165" fontId="1" fillId="2" borderId="1" xfId="2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 xr:uid="{C6E2BEF0-D228-4DE6-84F3-FC629EB0A18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E008B0E-0D9D-4743-9FA6-EB0803ED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52400"/>
          <a:ext cx="190500" cy="125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0"/>
  <sheetViews>
    <sheetView workbookViewId="0">
      <selection activeCell="C20" sqref="C20"/>
    </sheetView>
  </sheetViews>
  <sheetFormatPr baseColWidth="10" defaultColWidth="12.6640625" defaultRowHeight="15" x14ac:dyDescent="0.2"/>
  <cols>
    <col min="1" max="1" width="5.1640625" style="1" customWidth="1"/>
    <col min="2" max="2" width="58.5" style="1" customWidth="1"/>
    <col min="3" max="4" width="23.5" style="1" customWidth="1"/>
    <col min="5" max="5" width="2" style="1" customWidth="1"/>
    <col min="6" max="26" width="23.5" style="1" customWidth="1"/>
    <col min="27" max="16384" width="12.6640625" style="1"/>
  </cols>
  <sheetData>
    <row r="1" spans="2:26" s="2" customFormat="1" ht="33" customHeight="1" x14ac:dyDescent="0.2">
      <c r="B1" s="3" t="s">
        <v>0</v>
      </c>
      <c r="C1" s="5" t="s">
        <v>1</v>
      </c>
      <c r="E1" s="4" t="s">
        <v>2</v>
      </c>
    </row>
    <row r="3" spans="2:26" x14ac:dyDescent="0.2">
      <c r="B3" s="6" t="s">
        <v>3</v>
      </c>
      <c r="C3" s="7" t="s">
        <v>4</v>
      </c>
      <c r="D3" s="7" t="s">
        <v>5</v>
      </c>
      <c r="E3" s="8" t="s">
        <v>1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</row>
    <row r="4" spans="2:26" x14ac:dyDescent="0.2">
      <c r="B4" s="9" t="s">
        <v>27</v>
      </c>
      <c r="C4" s="10" t="s">
        <v>29</v>
      </c>
      <c r="D4" s="10" t="s">
        <v>28</v>
      </c>
      <c r="E4" s="10" t="s">
        <v>1</v>
      </c>
      <c r="F4" s="10">
        <v>219590</v>
      </c>
      <c r="G4" s="11">
        <v>219590</v>
      </c>
      <c r="H4" s="10">
        <v>2.8751218199999999</v>
      </c>
      <c r="I4" s="10">
        <v>10.418917069999999</v>
      </c>
      <c r="J4" s="10">
        <v>2287.89</v>
      </c>
      <c r="K4" s="11">
        <v>631348</v>
      </c>
      <c r="L4" s="10">
        <v>3.6238176100000001</v>
      </c>
      <c r="M4" s="10">
        <v>531</v>
      </c>
      <c r="N4" s="10">
        <v>4.3086440699999997</v>
      </c>
      <c r="O4" s="10">
        <v>8.4105750000000007E-2</v>
      </c>
      <c r="P4" s="10">
        <v>877</v>
      </c>
      <c r="Q4" s="10">
        <v>0.13890912999999999</v>
      </c>
      <c r="R4" s="10">
        <v>2.6087685299999999</v>
      </c>
      <c r="S4" s="10">
        <v>515945</v>
      </c>
      <c r="T4" s="10">
        <v>30157</v>
      </c>
      <c r="U4" s="10">
        <v>7710</v>
      </c>
      <c r="V4" s="10">
        <v>6</v>
      </c>
      <c r="W4" s="10">
        <v>30935</v>
      </c>
      <c r="X4" s="10">
        <v>185</v>
      </c>
      <c r="Y4" s="10">
        <v>4</v>
      </c>
      <c r="Z4" s="10">
        <v>52</v>
      </c>
    </row>
    <row r="5" spans="2:26" x14ac:dyDescent="0.2">
      <c r="B5" s="9" t="s">
        <v>1</v>
      </c>
      <c r="C5" s="10" t="s">
        <v>29</v>
      </c>
      <c r="D5" s="10" t="s">
        <v>28</v>
      </c>
      <c r="E5" s="10" t="s">
        <v>1</v>
      </c>
      <c r="F5" s="10">
        <v>228896</v>
      </c>
      <c r="G5" s="11">
        <v>228896</v>
      </c>
      <c r="H5" s="10">
        <v>2.7582308100000001</v>
      </c>
      <c r="I5" s="10">
        <v>9.9953253899999996</v>
      </c>
      <c r="J5" s="10">
        <v>2287.89</v>
      </c>
      <c r="K5" s="11">
        <v>631348</v>
      </c>
      <c r="L5" s="10">
        <v>3.6238176100000001</v>
      </c>
      <c r="M5" s="10">
        <v>531</v>
      </c>
      <c r="N5" s="10">
        <v>4.3086440699999997</v>
      </c>
      <c r="O5" s="10">
        <v>8.4105750000000007E-2</v>
      </c>
      <c r="P5" s="10">
        <v>877</v>
      </c>
      <c r="Q5" s="10">
        <v>0.13890912999999999</v>
      </c>
      <c r="R5" s="10">
        <v>2.6087685299999999</v>
      </c>
      <c r="S5" s="10">
        <v>515945</v>
      </c>
      <c r="T5" s="10">
        <v>30157</v>
      </c>
      <c r="U5" s="10">
        <v>7710</v>
      </c>
      <c r="V5" s="10">
        <v>6</v>
      </c>
      <c r="W5" s="10">
        <v>30935</v>
      </c>
      <c r="X5" s="10">
        <v>185</v>
      </c>
      <c r="Y5" s="10">
        <v>4</v>
      </c>
      <c r="Z5" s="10">
        <v>52</v>
      </c>
    </row>
    <row r="6" spans="2:26" x14ac:dyDescent="0.2">
      <c r="B6" s="9" t="s">
        <v>1</v>
      </c>
      <c r="C6" s="10" t="s">
        <v>1</v>
      </c>
      <c r="D6" s="10" t="s">
        <v>30</v>
      </c>
      <c r="E6" s="10" t="s">
        <v>1</v>
      </c>
      <c r="F6" s="10">
        <v>129390</v>
      </c>
      <c r="G6" s="11">
        <v>129390</v>
      </c>
      <c r="H6" s="10">
        <v>2.7859340000000001</v>
      </c>
      <c r="I6" s="10">
        <v>10.060497399999999</v>
      </c>
      <c r="J6" s="10">
        <v>1301.72775892</v>
      </c>
      <c r="K6" s="11">
        <v>360472</v>
      </c>
      <c r="L6" s="10">
        <v>3.6111757899999999</v>
      </c>
      <c r="M6" s="10">
        <v>321</v>
      </c>
      <c r="N6" s="10">
        <v>4.0552266599999998</v>
      </c>
      <c r="O6" s="10">
        <v>8.9049909999999996E-2</v>
      </c>
      <c r="P6" s="10">
        <v>513</v>
      </c>
      <c r="Q6" s="10">
        <v>0.14231341</v>
      </c>
      <c r="R6" s="10">
        <v>2.53748101</v>
      </c>
      <c r="S6" s="10">
        <v>294756</v>
      </c>
      <c r="T6" s="10">
        <v>18713</v>
      </c>
      <c r="U6" s="10">
        <v>4705</v>
      </c>
      <c r="V6" s="10">
        <v>4</v>
      </c>
      <c r="W6" s="10">
        <v>19161</v>
      </c>
      <c r="X6" s="10">
        <v>101</v>
      </c>
      <c r="Y6" s="10">
        <v>2</v>
      </c>
      <c r="Z6" s="10">
        <v>20</v>
      </c>
    </row>
    <row r="7" spans="2:26" x14ac:dyDescent="0.2">
      <c r="B7" s="9" t="s">
        <v>1</v>
      </c>
      <c r="C7" s="10" t="s">
        <v>1</v>
      </c>
      <c r="D7" s="10" t="s">
        <v>31</v>
      </c>
      <c r="E7" s="10" t="s">
        <v>1</v>
      </c>
      <c r="F7" s="10">
        <v>96563</v>
      </c>
      <c r="G7" s="11">
        <v>96563</v>
      </c>
      <c r="H7" s="10">
        <v>2.7327340699999998</v>
      </c>
      <c r="I7" s="10">
        <v>9.9534498300000003</v>
      </c>
      <c r="J7" s="10">
        <v>961.13497583000003</v>
      </c>
      <c r="K7" s="11">
        <v>263881</v>
      </c>
      <c r="L7" s="10">
        <v>3.6423045799999998</v>
      </c>
      <c r="M7" s="10">
        <v>205</v>
      </c>
      <c r="N7" s="10">
        <v>4.6884632999999996</v>
      </c>
      <c r="O7" s="10">
        <v>7.7686530000000004E-2</v>
      </c>
      <c r="P7" s="10">
        <v>353</v>
      </c>
      <c r="Q7" s="10">
        <v>0.13377242</v>
      </c>
      <c r="R7" s="10">
        <v>2.7227619700000001</v>
      </c>
      <c r="S7" s="10">
        <v>215654</v>
      </c>
      <c r="T7" s="10">
        <v>11052</v>
      </c>
      <c r="U7" s="10">
        <v>2898</v>
      </c>
      <c r="V7" s="10">
        <v>2</v>
      </c>
      <c r="W7" s="10">
        <v>11372</v>
      </c>
      <c r="X7" s="10">
        <v>79</v>
      </c>
      <c r="Y7" s="10">
        <v>2</v>
      </c>
      <c r="Z7" s="10">
        <v>32</v>
      </c>
    </row>
    <row r="8" spans="2:26" x14ac:dyDescent="0.2">
      <c r="B8" s="12" t="s">
        <v>1</v>
      </c>
      <c r="C8" s="13" t="s">
        <v>1</v>
      </c>
      <c r="D8" s="13" t="s">
        <v>32</v>
      </c>
      <c r="E8" s="13" t="s">
        <v>1</v>
      </c>
      <c r="F8" s="13">
        <v>2944</v>
      </c>
      <c r="G8" s="14">
        <v>2944</v>
      </c>
      <c r="H8" s="13">
        <v>2.3760190200000002</v>
      </c>
      <c r="I8" s="13">
        <v>8.5011091200000006</v>
      </c>
      <c r="J8" s="13">
        <v>25.027265249999999</v>
      </c>
      <c r="K8" s="14">
        <v>6995</v>
      </c>
      <c r="L8" s="13">
        <v>3.5778792300000002</v>
      </c>
      <c r="M8" s="13">
        <v>5</v>
      </c>
      <c r="N8" s="13">
        <v>5.0054530499999998</v>
      </c>
      <c r="O8" s="13">
        <v>7.1479630000000002E-2</v>
      </c>
      <c r="P8" s="13">
        <v>11</v>
      </c>
      <c r="Q8" s="13">
        <v>0.15725517999999999</v>
      </c>
      <c r="R8" s="13">
        <v>2.2752059299999998</v>
      </c>
      <c r="S8" s="13">
        <v>5535</v>
      </c>
      <c r="T8" s="13">
        <v>392</v>
      </c>
      <c r="U8" s="13">
        <v>107</v>
      </c>
      <c r="V8" s="13" t="s">
        <v>1</v>
      </c>
      <c r="W8" s="13">
        <v>402</v>
      </c>
      <c r="X8" s="13">
        <v>5</v>
      </c>
      <c r="Y8" s="13" t="s">
        <v>1</v>
      </c>
      <c r="Z8" s="13" t="s">
        <v>1</v>
      </c>
    </row>
    <row r="9" spans="2:26" x14ac:dyDescent="0.2">
      <c r="B9" s="9" t="s">
        <v>33</v>
      </c>
      <c r="C9" s="10" t="s">
        <v>29</v>
      </c>
      <c r="D9" s="10" t="s">
        <v>28</v>
      </c>
      <c r="E9" s="10" t="s">
        <v>1</v>
      </c>
      <c r="F9" s="10">
        <v>217444</v>
      </c>
      <c r="G9" s="11">
        <v>217444</v>
      </c>
      <c r="H9" s="10">
        <v>2.7836178500000002</v>
      </c>
      <c r="I9" s="10">
        <v>10.17314803</v>
      </c>
      <c r="J9" s="10">
        <v>2212.09</v>
      </c>
      <c r="K9" s="11">
        <v>605281</v>
      </c>
      <c r="L9" s="10">
        <v>3.65464966</v>
      </c>
      <c r="M9" s="10">
        <v>434</v>
      </c>
      <c r="N9" s="10">
        <v>5.0969815699999996</v>
      </c>
      <c r="O9" s="10">
        <v>7.1702230000000006E-2</v>
      </c>
      <c r="P9" s="10">
        <v>695</v>
      </c>
      <c r="Q9" s="10">
        <v>0.1148227</v>
      </c>
      <c r="R9" s="10">
        <v>3.1828633100000001</v>
      </c>
      <c r="S9" s="10">
        <v>495003</v>
      </c>
      <c r="T9" s="10">
        <v>24428</v>
      </c>
      <c r="U9" s="10">
        <v>6279</v>
      </c>
      <c r="V9" s="10">
        <v>2</v>
      </c>
      <c r="W9" s="10">
        <v>25002</v>
      </c>
      <c r="X9" s="10">
        <v>109</v>
      </c>
      <c r="Y9" s="10">
        <v>1</v>
      </c>
      <c r="Z9" s="10">
        <v>28</v>
      </c>
    </row>
    <row r="10" spans="2:26" x14ac:dyDescent="0.2">
      <c r="B10" s="9" t="s">
        <v>1</v>
      </c>
      <c r="C10" s="10" t="s">
        <v>29</v>
      </c>
      <c r="D10" s="10" t="s">
        <v>28</v>
      </c>
      <c r="E10" s="10" t="s">
        <v>1</v>
      </c>
      <c r="F10" s="10">
        <v>217010</v>
      </c>
      <c r="G10" s="11">
        <v>217010</v>
      </c>
      <c r="H10" s="10">
        <v>2.7891848299999999</v>
      </c>
      <c r="I10" s="10">
        <v>10.19349339</v>
      </c>
      <c r="J10" s="10">
        <v>2212.09</v>
      </c>
      <c r="K10" s="11">
        <v>605281</v>
      </c>
      <c r="L10" s="10">
        <v>3.65464966</v>
      </c>
      <c r="M10" s="10">
        <v>434</v>
      </c>
      <c r="N10" s="10">
        <v>5.0969815699999996</v>
      </c>
      <c r="O10" s="10">
        <v>7.1702230000000006E-2</v>
      </c>
      <c r="P10" s="10">
        <v>695</v>
      </c>
      <c r="Q10" s="10">
        <v>0.1148227</v>
      </c>
      <c r="R10" s="10">
        <v>3.1828633100000001</v>
      </c>
      <c r="S10" s="10">
        <v>495003</v>
      </c>
      <c r="T10" s="10">
        <v>24428</v>
      </c>
      <c r="U10" s="10">
        <v>6279</v>
      </c>
      <c r="V10" s="10">
        <v>2</v>
      </c>
      <c r="W10" s="10">
        <v>25002</v>
      </c>
      <c r="X10" s="10">
        <v>109</v>
      </c>
      <c r="Y10" s="10">
        <v>1</v>
      </c>
      <c r="Z10" s="10">
        <v>28</v>
      </c>
    </row>
    <row r="11" spans="2:26" x14ac:dyDescent="0.2">
      <c r="B11" s="9" t="s">
        <v>1</v>
      </c>
      <c r="C11" s="10" t="s">
        <v>1</v>
      </c>
      <c r="D11" s="10" t="s">
        <v>30</v>
      </c>
      <c r="E11" s="10" t="s">
        <v>1</v>
      </c>
      <c r="F11" s="10">
        <v>124984</v>
      </c>
      <c r="G11" s="11">
        <v>124984</v>
      </c>
      <c r="H11" s="10">
        <v>2.7735550199999999</v>
      </c>
      <c r="I11" s="10">
        <v>10.120815009999999</v>
      </c>
      <c r="J11" s="10">
        <v>1264.9399437699999</v>
      </c>
      <c r="K11" s="11">
        <v>346650</v>
      </c>
      <c r="L11" s="10">
        <v>3.6490406599999998</v>
      </c>
      <c r="M11" s="10">
        <v>263</v>
      </c>
      <c r="N11" s="10">
        <v>4.8096575799999997</v>
      </c>
      <c r="O11" s="10">
        <v>7.5869030000000004E-2</v>
      </c>
      <c r="P11" s="10">
        <v>417</v>
      </c>
      <c r="Q11" s="10">
        <v>0.12029424</v>
      </c>
      <c r="R11" s="10">
        <v>3.0334291200000001</v>
      </c>
      <c r="S11" s="10">
        <v>283378</v>
      </c>
      <c r="T11" s="10">
        <v>15372</v>
      </c>
      <c r="U11" s="10">
        <v>3955</v>
      </c>
      <c r="V11" s="10">
        <v>2</v>
      </c>
      <c r="W11" s="10">
        <v>15724</v>
      </c>
      <c r="X11" s="10">
        <v>73</v>
      </c>
      <c r="Y11" s="10" t="s">
        <v>1</v>
      </c>
      <c r="Z11" s="10">
        <v>14</v>
      </c>
    </row>
    <row r="12" spans="2:26" x14ac:dyDescent="0.2">
      <c r="B12" s="9" t="s">
        <v>1</v>
      </c>
      <c r="C12" s="10" t="s">
        <v>1</v>
      </c>
      <c r="D12" s="10" t="s">
        <v>31</v>
      </c>
      <c r="E12" s="10" t="s">
        <v>1</v>
      </c>
      <c r="F12" s="10">
        <v>89594</v>
      </c>
      <c r="G12" s="11">
        <v>89594</v>
      </c>
      <c r="H12" s="10">
        <v>2.8122530499999998</v>
      </c>
      <c r="I12" s="10">
        <v>10.293676270000001</v>
      </c>
      <c r="J12" s="10">
        <v>922.25163201999999</v>
      </c>
      <c r="K12" s="11">
        <v>251961</v>
      </c>
      <c r="L12" s="10">
        <v>3.6602951699999999</v>
      </c>
      <c r="M12" s="10">
        <v>168</v>
      </c>
      <c r="N12" s="10">
        <v>5.4895930499999999</v>
      </c>
      <c r="O12" s="10">
        <v>6.6676990000000005E-2</v>
      </c>
      <c r="P12" s="10">
        <v>274</v>
      </c>
      <c r="Q12" s="10">
        <v>0.10874699</v>
      </c>
      <c r="R12" s="10">
        <v>3.3658818699999999</v>
      </c>
      <c r="S12" s="10">
        <v>206234</v>
      </c>
      <c r="T12" s="10">
        <v>8743</v>
      </c>
      <c r="U12" s="10">
        <v>2246</v>
      </c>
      <c r="V12" s="10" t="s">
        <v>1</v>
      </c>
      <c r="W12" s="10">
        <v>8957</v>
      </c>
      <c r="X12" s="10">
        <v>31</v>
      </c>
      <c r="Y12" s="10">
        <v>1</v>
      </c>
      <c r="Z12" s="10">
        <v>14</v>
      </c>
    </row>
    <row r="13" spans="2:26" x14ac:dyDescent="0.2">
      <c r="B13" s="12" t="s">
        <v>1</v>
      </c>
      <c r="C13" s="13" t="s">
        <v>1</v>
      </c>
      <c r="D13" s="13" t="s">
        <v>32</v>
      </c>
      <c r="E13" s="13" t="s">
        <v>1</v>
      </c>
      <c r="F13" s="13">
        <v>2432</v>
      </c>
      <c r="G13" s="14">
        <v>2432</v>
      </c>
      <c r="H13" s="13">
        <v>2.74259868</v>
      </c>
      <c r="I13" s="13">
        <v>10.2378389</v>
      </c>
      <c r="J13" s="13">
        <v>24.898424210000002</v>
      </c>
      <c r="K13" s="14">
        <v>6670</v>
      </c>
      <c r="L13" s="13">
        <v>3.7328971800000001</v>
      </c>
      <c r="M13" s="13">
        <v>3</v>
      </c>
      <c r="N13" s="13">
        <v>8.2994747400000008</v>
      </c>
      <c r="O13" s="13">
        <v>4.4977509999999998E-2</v>
      </c>
      <c r="P13" s="13">
        <v>4</v>
      </c>
      <c r="Q13" s="13">
        <v>5.9970009999999997E-2</v>
      </c>
      <c r="R13" s="13">
        <v>6.2246060500000002</v>
      </c>
      <c r="S13" s="13">
        <v>5391</v>
      </c>
      <c r="T13" s="13">
        <v>313</v>
      </c>
      <c r="U13" s="13">
        <v>78</v>
      </c>
      <c r="V13" s="13" t="s">
        <v>1</v>
      </c>
      <c r="W13" s="13">
        <v>321</v>
      </c>
      <c r="X13" s="13">
        <v>5</v>
      </c>
      <c r="Y13" s="13" t="s">
        <v>1</v>
      </c>
      <c r="Z13" s="13" t="s">
        <v>1</v>
      </c>
    </row>
    <row r="16" spans="2:26" x14ac:dyDescent="0.2">
      <c r="C16" s="21" t="s">
        <v>55</v>
      </c>
      <c r="D16" s="21" t="s">
        <v>56</v>
      </c>
    </row>
    <row r="17" spans="2:6" x14ac:dyDescent="0.2">
      <c r="B17" s="21" t="s">
        <v>54</v>
      </c>
      <c r="C17" s="23">
        <f>(L11-L6)/L6</f>
        <v>1.0485468501659384E-2</v>
      </c>
      <c r="D17" s="23">
        <f>(L12-L7)/L7</f>
        <v>4.9393425521816574E-3</v>
      </c>
    </row>
    <row r="18" spans="2:6" x14ac:dyDescent="0.2">
      <c r="B18" s="21" t="s">
        <v>52</v>
      </c>
      <c r="C18" s="22">
        <f>(N11-N6)/N6</f>
        <v>0.18603914978207406</v>
      </c>
      <c r="D18" s="22">
        <f>(N12-N7)/N7</f>
        <v>0.17087256500440143</v>
      </c>
    </row>
    <row r="19" spans="2:6" x14ac:dyDescent="0.2">
      <c r="B19" s="21" t="s">
        <v>53</v>
      </c>
      <c r="C19" s="22">
        <f>(O11-O6)/O6</f>
        <v>-0.14801676947231043</v>
      </c>
      <c r="D19" s="22">
        <f>(O12-O7)/O7</f>
        <v>-0.14171748950558091</v>
      </c>
      <c r="F19" s="10"/>
    </row>
    <row r="20" spans="2:6" x14ac:dyDescent="0.2">
      <c r="B20" s="21" t="s">
        <v>21</v>
      </c>
      <c r="C20" s="22">
        <f>(U11-U6)/U6</f>
        <v>-0.1594048884165781</v>
      </c>
      <c r="D20" s="22">
        <f>(U12-U7)/U7</f>
        <v>-0.22498274672187715</v>
      </c>
    </row>
  </sheetData>
  <hyperlinks>
    <hyperlink ref="C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5C9B-B115-43F7-9164-5D57B539737B}">
  <dimension ref="B1:X16"/>
  <sheetViews>
    <sheetView tabSelected="1" zoomScale="132" zoomScaleNormal="85" workbookViewId="0">
      <selection activeCell="F16" sqref="F16"/>
    </sheetView>
  </sheetViews>
  <sheetFormatPr baseColWidth="10" defaultColWidth="12.6640625" defaultRowHeight="15" x14ac:dyDescent="0.2"/>
  <cols>
    <col min="1" max="1" width="5.1640625" style="1" customWidth="1"/>
    <col min="2" max="2" width="58.5" style="1" customWidth="1"/>
    <col min="3" max="24" width="23.5" style="1" customWidth="1"/>
    <col min="25" max="16384" width="12.6640625" style="1"/>
  </cols>
  <sheetData>
    <row r="1" spans="2:24" s="2" customFormat="1" ht="24" x14ac:dyDescent="0.2">
      <c r="B1" s="3" t="s">
        <v>0</v>
      </c>
      <c r="C1" s="5" t="s">
        <v>1</v>
      </c>
    </row>
    <row r="3" spans="2:24" x14ac:dyDescent="0.2">
      <c r="B3" s="6" t="s">
        <v>3</v>
      </c>
      <c r="C3" s="7" t="s">
        <v>47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</row>
    <row r="4" spans="2:24" x14ac:dyDescent="0.2">
      <c r="B4" s="9" t="s">
        <v>27</v>
      </c>
      <c r="C4" s="10" t="s">
        <v>28</v>
      </c>
      <c r="D4" s="10">
        <v>219590</v>
      </c>
      <c r="E4" s="11">
        <v>219590</v>
      </c>
      <c r="F4" s="10">
        <v>2.8751218199999999</v>
      </c>
      <c r="G4" s="10">
        <v>10.418917069999999</v>
      </c>
      <c r="H4" s="10">
        <v>2287.89</v>
      </c>
      <c r="I4" s="11">
        <v>631348</v>
      </c>
      <c r="J4" s="10">
        <v>3.6238176100000001</v>
      </c>
      <c r="K4" s="10">
        <v>531</v>
      </c>
      <c r="L4" s="10">
        <v>4.3086440699999997</v>
      </c>
      <c r="M4" s="10">
        <v>8.4105750000000007E-2</v>
      </c>
      <c r="N4" s="10">
        <v>877</v>
      </c>
      <c r="O4" s="10">
        <v>0.13890912999999999</v>
      </c>
      <c r="P4" s="10">
        <v>2.6087685299999999</v>
      </c>
      <c r="Q4" s="10">
        <v>515945</v>
      </c>
      <c r="R4" s="10">
        <v>30157</v>
      </c>
      <c r="S4" s="10">
        <v>7710</v>
      </c>
      <c r="T4" s="10">
        <v>6</v>
      </c>
      <c r="U4" s="10">
        <v>30935</v>
      </c>
      <c r="V4" s="10">
        <v>185</v>
      </c>
      <c r="W4" s="10">
        <v>4</v>
      </c>
      <c r="X4" s="10">
        <v>52</v>
      </c>
    </row>
    <row r="5" spans="2:24" x14ac:dyDescent="0.2">
      <c r="B5" s="9" t="s">
        <v>1</v>
      </c>
      <c r="C5" s="10" t="s">
        <v>48</v>
      </c>
      <c r="D5" s="10">
        <v>336146</v>
      </c>
      <c r="E5" s="11">
        <v>336146</v>
      </c>
      <c r="F5" s="10">
        <v>1.7807768100000001</v>
      </c>
      <c r="G5" s="10">
        <v>6.4444416699999998</v>
      </c>
      <c r="H5" s="10">
        <v>2166.2732891800001</v>
      </c>
      <c r="I5" s="11">
        <v>598601</v>
      </c>
      <c r="J5" s="10">
        <v>3.6188935400000002</v>
      </c>
      <c r="K5" s="10">
        <v>520</v>
      </c>
      <c r="L5" s="10">
        <v>4.1659101700000001</v>
      </c>
      <c r="M5" s="10">
        <v>8.6869219999999997E-2</v>
      </c>
      <c r="N5" s="10">
        <v>805</v>
      </c>
      <c r="O5" s="10">
        <v>0.13448023000000001</v>
      </c>
      <c r="P5" s="10">
        <v>2.6910227199999999</v>
      </c>
      <c r="Q5" s="10">
        <v>485019</v>
      </c>
      <c r="R5" s="10">
        <v>28032</v>
      </c>
      <c r="S5" s="10">
        <v>7135</v>
      </c>
      <c r="T5" s="10">
        <v>6</v>
      </c>
      <c r="U5" s="10">
        <v>28788</v>
      </c>
      <c r="V5" s="10">
        <v>174</v>
      </c>
      <c r="W5" s="10">
        <v>4</v>
      </c>
      <c r="X5" s="10">
        <v>52</v>
      </c>
    </row>
    <row r="6" spans="2:24" x14ac:dyDescent="0.2">
      <c r="B6" s="12" t="s">
        <v>1</v>
      </c>
      <c r="C6" s="13" t="s">
        <v>49</v>
      </c>
      <c r="D6" s="13">
        <v>19133</v>
      </c>
      <c r="E6" s="14">
        <v>19133</v>
      </c>
      <c r="F6" s="13">
        <v>1.7115454999999999</v>
      </c>
      <c r="G6" s="13">
        <v>6.3563848199999997</v>
      </c>
      <c r="H6" s="13">
        <v>121.61671081999999</v>
      </c>
      <c r="I6" s="14">
        <v>32747</v>
      </c>
      <c r="J6" s="13">
        <v>3.71382755</v>
      </c>
      <c r="K6" s="13">
        <v>11</v>
      </c>
      <c r="L6" s="13">
        <v>11.056064620000001</v>
      </c>
      <c r="M6" s="13">
        <v>3.359086E-2</v>
      </c>
      <c r="N6" s="13">
        <v>72</v>
      </c>
      <c r="O6" s="13">
        <v>0.21986747000000001</v>
      </c>
      <c r="P6" s="13">
        <v>1.68912098</v>
      </c>
      <c r="Q6" s="13">
        <v>30926</v>
      </c>
      <c r="R6" s="13">
        <v>2125</v>
      </c>
      <c r="S6" s="13">
        <v>575</v>
      </c>
      <c r="T6" s="13" t="s">
        <v>1</v>
      </c>
      <c r="U6" s="13">
        <v>2147</v>
      </c>
      <c r="V6" s="13">
        <v>11</v>
      </c>
      <c r="W6" s="13" t="s">
        <v>1</v>
      </c>
      <c r="X6" s="13" t="s">
        <v>1</v>
      </c>
    </row>
    <row r="7" spans="2:24" x14ac:dyDescent="0.2">
      <c r="B7" s="9" t="s">
        <v>33</v>
      </c>
      <c r="C7" s="10" t="s">
        <v>28</v>
      </c>
      <c r="D7" s="10">
        <v>217444</v>
      </c>
      <c r="E7" s="11">
        <v>217444</v>
      </c>
      <c r="F7" s="10">
        <v>2.7836178500000002</v>
      </c>
      <c r="G7" s="10">
        <v>10.17314803</v>
      </c>
      <c r="H7" s="10">
        <v>2212.09</v>
      </c>
      <c r="I7" s="11">
        <v>605281</v>
      </c>
      <c r="J7" s="10">
        <v>3.65464966</v>
      </c>
      <c r="K7" s="10">
        <v>434</v>
      </c>
      <c r="L7" s="10">
        <v>5.0969815699999996</v>
      </c>
      <c r="M7" s="10">
        <v>7.1702230000000006E-2</v>
      </c>
      <c r="N7" s="10">
        <v>695</v>
      </c>
      <c r="O7" s="10">
        <v>0.1148227</v>
      </c>
      <c r="P7" s="10">
        <v>3.1828633100000001</v>
      </c>
      <c r="Q7" s="10">
        <v>495003</v>
      </c>
      <c r="R7" s="10">
        <v>24428</v>
      </c>
      <c r="S7" s="10">
        <v>6279</v>
      </c>
      <c r="T7" s="10">
        <v>2</v>
      </c>
      <c r="U7" s="10">
        <v>25002</v>
      </c>
      <c r="V7" s="10">
        <v>109</v>
      </c>
      <c r="W7" s="10">
        <v>1</v>
      </c>
      <c r="X7" s="10">
        <v>28</v>
      </c>
    </row>
    <row r="8" spans="2:24" x14ac:dyDescent="0.2">
      <c r="B8" s="9" t="s">
        <v>1</v>
      </c>
      <c r="C8" s="10" t="s">
        <v>48</v>
      </c>
      <c r="D8" s="10">
        <v>320491</v>
      </c>
      <c r="E8" s="11">
        <v>320491</v>
      </c>
      <c r="F8" s="10">
        <v>1.7928834199999999</v>
      </c>
      <c r="G8" s="10">
        <v>6.5480378000000004</v>
      </c>
      <c r="H8" s="10">
        <v>2098.5871834300001</v>
      </c>
      <c r="I8" s="11">
        <v>574603</v>
      </c>
      <c r="J8" s="10">
        <v>3.6522384699999999</v>
      </c>
      <c r="K8" s="10">
        <v>427</v>
      </c>
      <c r="L8" s="10">
        <v>4.9147240800000001</v>
      </c>
      <c r="M8" s="10">
        <v>7.4312180000000005E-2</v>
      </c>
      <c r="N8" s="10">
        <v>652</v>
      </c>
      <c r="O8" s="10">
        <v>0.11346965000000001</v>
      </c>
      <c r="P8" s="10">
        <v>3.2186919999999999</v>
      </c>
      <c r="Q8" s="10">
        <v>465988</v>
      </c>
      <c r="R8" s="10">
        <v>22869</v>
      </c>
      <c r="S8" s="10">
        <v>5846</v>
      </c>
      <c r="T8" s="10">
        <v>2</v>
      </c>
      <c r="U8" s="10">
        <v>23426</v>
      </c>
      <c r="V8" s="10">
        <v>100</v>
      </c>
      <c r="W8" s="10">
        <v>1</v>
      </c>
      <c r="X8" s="10">
        <v>27</v>
      </c>
    </row>
    <row r="9" spans="2:24" x14ac:dyDescent="0.2">
      <c r="B9" s="12" t="s">
        <v>1</v>
      </c>
      <c r="C9" s="13" t="s">
        <v>49</v>
      </c>
      <c r="D9" s="13">
        <v>14911</v>
      </c>
      <c r="E9" s="14">
        <v>14911</v>
      </c>
      <c r="F9" s="13">
        <v>2.0574072800000001</v>
      </c>
      <c r="G9" s="13">
        <v>7.6120190799999996</v>
      </c>
      <c r="H9" s="13">
        <v>113.50281656999999</v>
      </c>
      <c r="I9" s="14">
        <v>30678</v>
      </c>
      <c r="J9" s="13">
        <v>3.6998114800000002</v>
      </c>
      <c r="K9" s="13">
        <v>7</v>
      </c>
      <c r="L9" s="13">
        <v>16.214688079999998</v>
      </c>
      <c r="M9" s="13">
        <v>2.2817649999999998E-2</v>
      </c>
      <c r="N9" s="13">
        <v>43</v>
      </c>
      <c r="O9" s="13">
        <v>0.14016559000000001</v>
      </c>
      <c r="P9" s="13">
        <v>2.63960039</v>
      </c>
      <c r="Q9" s="13">
        <v>29015</v>
      </c>
      <c r="R9" s="13">
        <v>1559</v>
      </c>
      <c r="S9" s="13">
        <v>433</v>
      </c>
      <c r="T9" s="13" t="s">
        <v>1</v>
      </c>
      <c r="U9" s="13">
        <v>1576</v>
      </c>
      <c r="V9" s="13">
        <v>9</v>
      </c>
      <c r="W9" s="13" t="s">
        <v>1</v>
      </c>
      <c r="X9" s="13">
        <v>1</v>
      </c>
    </row>
    <row r="11" spans="2:24" x14ac:dyDescent="0.2">
      <c r="E11" s="10"/>
    </row>
    <row r="12" spans="2:24" x14ac:dyDescent="0.2">
      <c r="C12" s="21" t="s">
        <v>50</v>
      </c>
      <c r="D12" s="21" t="s">
        <v>51</v>
      </c>
      <c r="E12" s="11"/>
    </row>
    <row r="13" spans="2:24" x14ac:dyDescent="0.2">
      <c r="B13" s="21" t="s">
        <v>54</v>
      </c>
      <c r="C13" s="23">
        <f>(J9-J6)/J6</f>
        <v>-3.774022840667393E-3</v>
      </c>
      <c r="D13" s="23">
        <f>(J8-J5)/J5</f>
        <v>9.2141229443294739E-3</v>
      </c>
    </row>
    <row r="14" spans="2:24" x14ac:dyDescent="0.2">
      <c r="B14" s="21" t="s">
        <v>52</v>
      </c>
      <c r="C14" s="22">
        <f>(P9-P6)/P6</f>
        <v>0.56270653271975823</v>
      </c>
      <c r="D14" s="22">
        <f>(L8-L5)/L5</f>
        <v>0.17974797329823364</v>
      </c>
    </row>
    <row r="15" spans="2:24" x14ac:dyDescent="0.2">
      <c r="B15" s="21" t="s">
        <v>53</v>
      </c>
      <c r="C15" s="22">
        <f>(M9-M6)/M6</f>
        <v>-0.32071849306626865</v>
      </c>
      <c r="D15" s="22">
        <f>(M8-M5)/M5</f>
        <v>-0.14455108495275992</v>
      </c>
    </row>
    <row r="16" spans="2:24" x14ac:dyDescent="0.2">
      <c r="B16" s="21" t="s">
        <v>21</v>
      </c>
      <c r="C16" s="22">
        <f>(S9-S6)/S6</f>
        <v>-0.24695652173913044</v>
      </c>
      <c r="D16" s="22">
        <f>(S8-S5)/S5</f>
        <v>-0.18065872459705676</v>
      </c>
    </row>
  </sheetData>
  <hyperlinks>
    <hyperlink ref="C1" xr:uid="{D502BE36-BB30-4E15-8D08-71A68A9A951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3"/>
  <sheetViews>
    <sheetView workbookViewId="0"/>
  </sheetViews>
  <sheetFormatPr baseColWidth="10" defaultColWidth="12.6640625" defaultRowHeight="15" x14ac:dyDescent="0.2"/>
  <cols>
    <col min="1" max="1" width="5.1640625" style="1" customWidth="1"/>
    <col min="2" max="2" width="58.5" style="1" customWidth="1"/>
    <col min="3" max="32" width="23.5" style="1" customWidth="1"/>
    <col min="33" max="16384" width="12.6640625" style="1"/>
  </cols>
  <sheetData>
    <row r="1" spans="2:32" s="2" customFormat="1" ht="33" customHeight="1" x14ac:dyDescent="0.2">
      <c r="B1" s="3" t="s">
        <v>0</v>
      </c>
      <c r="C1" s="5" t="s">
        <v>34</v>
      </c>
      <c r="E1" s="4" t="s">
        <v>2</v>
      </c>
    </row>
    <row r="3" spans="2:32" x14ac:dyDescent="0.2">
      <c r="B3" s="15" t="s">
        <v>3</v>
      </c>
      <c r="C3" s="15" t="s">
        <v>4</v>
      </c>
      <c r="D3" s="15" t="s">
        <v>5</v>
      </c>
      <c r="E3" s="15" t="s">
        <v>35</v>
      </c>
      <c r="F3" s="15" t="s">
        <v>36</v>
      </c>
      <c r="G3" s="15" t="s">
        <v>37</v>
      </c>
      <c r="H3" s="15" t="s">
        <v>38</v>
      </c>
      <c r="I3" s="15" t="s">
        <v>6</v>
      </c>
      <c r="J3" s="15" t="s">
        <v>7</v>
      </c>
      <c r="K3" s="15" t="s">
        <v>8</v>
      </c>
      <c r="L3" s="15" t="s">
        <v>9</v>
      </c>
      <c r="M3" s="15" t="s">
        <v>10</v>
      </c>
      <c r="N3" s="15" t="s">
        <v>11</v>
      </c>
      <c r="O3" s="15" t="s">
        <v>12</v>
      </c>
      <c r="P3" s="15" t="s">
        <v>13</v>
      </c>
      <c r="Q3" s="15" t="s">
        <v>14</v>
      </c>
      <c r="R3" s="15" t="s">
        <v>15</v>
      </c>
      <c r="S3" s="15" t="s">
        <v>16</v>
      </c>
      <c r="T3" s="15" t="s">
        <v>17</v>
      </c>
      <c r="U3" s="15" t="s">
        <v>18</v>
      </c>
      <c r="V3" s="15" t="s">
        <v>39</v>
      </c>
      <c r="W3" s="15" t="s">
        <v>19</v>
      </c>
      <c r="X3" s="15" t="s">
        <v>20</v>
      </c>
      <c r="Y3" s="15" t="s">
        <v>21</v>
      </c>
      <c r="Z3" s="15" t="s">
        <v>22</v>
      </c>
      <c r="AA3" s="15" t="s">
        <v>23</v>
      </c>
      <c r="AB3" s="15" t="s">
        <v>24</v>
      </c>
      <c r="AC3" s="15" t="s">
        <v>25</v>
      </c>
      <c r="AD3" s="15" t="s">
        <v>26</v>
      </c>
      <c r="AE3" s="15" t="s">
        <v>40</v>
      </c>
      <c r="AF3" s="15" t="s">
        <v>41</v>
      </c>
    </row>
    <row r="4" spans="2:32" x14ac:dyDescent="0.2">
      <c r="B4" s="16" t="s">
        <v>27</v>
      </c>
      <c r="C4" s="16" t="s">
        <v>28</v>
      </c>
      <c r="D4" s="16" t="s">
        <v>28</v>
      </c>
      <c r="E4" s="17" t="s">
        <v>42</v>
      </c>
      <c r="F4" s="17" t="s">
        <v>43</v>
      </c>
      <c r="G4" s="17" t="s">
        <v>44</v>
      </c>
      <c r="H4" s="17" t="s">
        <v>7</v>
      </c>
      <c r="I4" s="17">
        <v>219590</v>
      </c>
      <c r="J4" s="18">
        <v>219590</v>
      </c>
      <c r="K4" s="17">
        <v>2.8751218199999999</v>
      </c>
      <c r="L4" s="19">
        <v>10.418917069999999</v>
      </c>
      <c r="M4" s="19">
        <v>2287.89</v>
      </c>
      <c r="N4" s="18">
        <v>631348</v>
      </c>
      <c r="O4" s="17">
        <v>3.6238176100000001</v>
      </c>
      <c r="P4" s="17">
        <v>531</v>
      </c>
      <c r="Q4" s="17">
        <v>4.3086440699999997</v>
      </c>
      <c r="R4" s="17">
        <v>8.4105750000000007E-2</v>
      </c>
      <c r="S4" s="17">
        <v>877</v>
      </c>
      <c r="T4" s="17">
        <v>0.13890912999999999</v>
      </c>
      <c r="U4" s="17">
        <v>2.6087685299999999</v>
      </c>
      <c r="V4" s="17">
        <v>103.995</v>
      </c>
      <c r="W4" s="17">
        <v>515945</v>
      </c>
      <c r="X4" s="17">
        <v>30157</v>
      </c>
      <c r="Y4" s="17">
        <v>7710</v>
      </c>
      <c r="Z4" s="17">
        <v>6</v>
      </c>
      <c r="AA4" s="17">
        <v>30935</v>
      </c>
      <c r="AB4" s="17">
        <v>185</v>
      </c>
      <c r="AC4" s="17">
        <v>4</v>
      </c>
      <c r="AD4" s="17">
        <v>52</v>
      </c>
      <c r="AE4" s="20" t="s">
        <v>45</v>
      </c>
      <c r="AF4" s="20" t="s">
        <v>46</v>
      </c>
    </row>
    <row r="5" spans="2:32" x14ac:dyDescent="0.2">
      <c r="B5" s="16" t="s">
        <v>27</v>
      </c>
      <c r="C5" s="16" t="s">
        <v>29</v>
      </c>
      <c r="D5" s="16" t="s">
        <v>28</v>
      </c>
      <c r="E5" s="17" t="s">
        <v>1</v>
      </c>
      <c r="F5" s="17" t="s">
        <v>1</v>
      </c>
      <c r="G5" s="17" t="s">
        <v>44</v>
      </c>
      <c r="H5" s="17" t="s">
        <v>7</v>
      </c>
      <c r="I5" s="17">
        <v>228896</v>
      </c>
      <c r="J5" s="18">
        <v>228896</v>
      </c>
      <c r="K5" s="17">
        <v>2.7582308100000001</v>
      </c>
      <c r="L5" s="19">
        <v>9.9953253899999996</v>
      </c>
      <c r="M5" s="19">
        <v>2287.89</v>
      </c>
      <c r="N5" s="18">
        <v>631348</v>
      </c>
      <c r="O5" s="17">
        <v>3.6238176100000001</v>
      </c>
      <c r="P5" s="17">
        <v>531</v>
      </c>
      <c r="Q5" s="17">
        <v>4.3086440699999997</v>
      </c>
      <c r="R5" s="17">
        <v>8.4105750000000007E-2</v>
      </c>
      <c r="S5" s="17">
        <v>877</v>
      </c>
      <c r="T5" s="17">
        <v>0.13890912999999999</v>
      </c>
      <c r="U5" s="17">
        <v>2.6087685299999999</v>
      </c>
      <c r="V5" s="17">
        <v>103.995</v>
      </c>
      <c r="W5" s="17">
        <v>515945</v>
      </c>
      <c r="X5" s="17">
        <v>30157</v>
      </c>
      <c r="Y5" s="17">
        <v>7710</v>
      </c>
      <c r="Z5" s="17">
        <v>6</v>
      </c>
      <c r="AA5" s="17">
        <v>30935</v>
      </c>
      <c r="AB5" s="17">
        <v>185</v>
      </c>
      <c r="AC5" s="17">
        <v>4</v>
      </c>
      <c r="AD5" s="17">
        <v>52</v>
      </c>
      <c r="AE5" s="20" t="s">
        <v>45</v>
      </c>
      <c r="AF5" s="20" t="s">
        <v>46</v>
      </c>
    </row>
    <row r="6" spans="2:32" x14ac:dyDescent="0.2">
      <c r="B6" s="16" t="s">
        <v>27</v>
      </c>
      <c r="C6" s="16" t="s">
        <v>29</v>
      </c>
      <c r="D6" s="16" t="s">
        <v>30</v>
      </c>
      <c r="E6" s="17" t="s">
        <v>1</v>
      </c>
      <c r="F6" s="17" t="s">
        <v>1</v>
      </c>
      <c r="G6" s="17" t="s">
        <v>44</v>
      </c>
      <c r="H6" s="17" t="s">
        <v>7</v>
      </c>
      <c r="I6" s="17">
        <v>129390</v>
      </c>
      <c r="J6" s="18">
        <v>129390</v>
      </c>
      <c r="K6" s="17">
        <v>2.7859340000000001</v>
      </c>
      <c r="L6" s="19">
        <v>10.060497399999999</v>
      </c>
      <c r="M6" s="19">
        <v>1301.72775892</v>
      </c>
      <c r="N6" s="18">
        <v>360472</v>
      </c>
      <c r="O6" s="17">
        <v>3.6111757899999999</v>
      </c>
      <c r="P6" s="17">
        <v>321</v>
      </c>
      <c r="Q6" s="17">
        <v>4.0552266599999998</v>
      </c>
      <c r="R6" s="17">
        <v>8.9049909999999996E-2</v>
      </c>
      <c r="S6" s="17">
        <v>513</v>
      </c>
      <c r="T6" s="17">
        <v>0.14231341</v>
      </c>
      <c r="U6" s="17">
        <v>2.53748101</v>
      </c>
      <c r="V6" s="17">
        <v>100.13290453</v>
      </c>
      <c r="W6" s="17">
        <v>294756</v>
      </c>
      <c r="X6" s="17">
        <v>18713</v>
      </c>
      <c r="Y6" s="17">
        <v>4705</v>
      </c>
      <c r="Z6" s="17">
        <v>4</v>
      </c>
      <c r="AA6" s="17">
        <v>19161</v>
      </c>
      <c r="AB6" s="17">
        <v>101</v>
      </c>
      <c r="AC6" s="17">
        <v>2</v>
      </c>
      <c r="AD6" s="17">
        <v>20</v>
      </c>
      <c r="AE6" s="20" t="s">
        <v>45</v>
      </c>
      <c r="AF6" s="20" t="s">
        <v>46</v>
      </c>
    </row>
    <row r="7" spans="2:32" x14ac:dyDescent="0.2">
      <c r="B7" s="16" t="s">
        <v>27</v>
      </c>
      <c r="C7" s="16" t="s">
        <v>29</v>
      </c>
      <c r="D7" s="16" t="s">
        <v>31</v>
      </c>
      <c r="E7" s="17" t="s">
        <v>1</v>
      </c>
      <c r="F7" s="17" t="s">
        <v>1</v>
      </c>
      <c r="G7" s="17" t="s">
        <v>44</v>
      </c>
      <c r="H7" s="17" t="s">
        <v>7</v>
      </c>
      <c r="I7" s="17">
        <v>96563</v>
      </c>
      <c r="J7" s="18">
        <v>96563</v>
      </c>
      <c r="K7" s="17">
        <v>2.7327340699999998</v>
      </c>
      <c r="L7" s="19">
        <v>9.9534498300000003</v>
      </c>
      <c r="M7" s="19">
        <v>961.13497583000003</v>
      </c>
      <c r="N7" s="18">
        <v>263881</v>
      </c>
      <c r="O7" s="17">
        <v>3.6423045799999998</v>
      </c>
      <c r="P7" s="17">
        <v>205</v>
      </c>
      <c r="Q7" s="17">
        <v>4.6884632999999996</v>
      </c>
      <c r="R7" s="17">
        <v>7.7686530000000004E-2</v>
      </c>
      <c r="S7" s="17">
        <v>353</v>
      </c>
      <c r="T7" s="17">
        <v>0.13377242</v>
      </c>
      <c r="U7" s="17">
        <v>2.7227619700000001</v>
      </c>
      <c r="V7" s="17">
        <v>106.79277509000001</v>
      </c>
      <c r="W7" s="17">
        <v>215654</v>
      </c>
      <c r="X7" s="17">
        <v>11052</v>
      </c>
      <c r="Y7" s="17">
        <v>2898</v>
      </c>
      <c r="Z7" s="17">
        <v>2</v>
      </c>
      <c r="AA7" s="17">
        <v>11372</v>
      </c>
      <c r="AB7" s="17">
        <v>79</v>
      </c>
      <c r="AC7" s="17">
        <v>2</v>
      </c>
      <c r="AD7" s="17">
        <v>32</v>
      </c>
      <c r="AE7" s="20" t="s">
        <v>45</v>
      </c>
      <c r="AF7" s="20" t="s">
        <v>46</v>
      </c>
    </row>
    <row r="8" spans="2:32" x14ac:dyDescent="0.2">
      <c r="B8" s="16" t="s">
        <v>27</v>
      </c>
      <c r="C8" s="16" t="s">
        <v>29</v>
      </c>
      <c r="D8" s="16" t="s">
        <v>32</v>
      </c>
      <c r="E8" s="17" t="s">
        <v>1</v>
      </c>
      <c r="F8" s="17" t="s">
        <v>1</v>
      </c>
      <c r="G8" s="17" t="s">
        <v>44</v>
      </c>
      <c r="H8" s="17" t="s">
        <v>7</v>
      </c>
      <c r="I8" s="17">
        <v>2944</v>
      </c>
      <c r="J8" s="18">
        <v>2944</v>
      </c>
      <c r="K8" s="17">
        <v>2.3760190200000002</v>
      </c>
      <c r="L8" s="19">
        <v>8.5011091200000006</v>
      </c>
      <c r="M8" s="19">
        <v>25.027265249999999</v>
      </c>
      <c r="N8" s="18">
        <v>6995</v>
      </c>
      <c r="O8" s="17">
        <v>3.5778792300000002</v>
      </c>
      <c r="P8" s="17">
        <v>5</v>
      </c>
      <c r="Q8" s="17">
        <v>5.0054530499999998</v>
      </c>
      <c r="R8" s="17">
        <v>7.1479630000000002E-2</v>
      </c>
      <c r="S8" s="17">
        <v>11</v>
      </c>
      <c r="T8" s="17">
        <v>0.15725517999999999</v>
      </c>
      <c r="U8" s="17">
        <v>2.2752059299999998</v>
      </c>
      <c r="V8" s="17" t="s">
        <v>1</v>
      </c>
      <c r="W8" s="17">
        <v>5535</v>
      </c>
      <c r="X8" s="17">
        <v>392</v>
      </c>
      <c r="Y8" s="17">
        <v>107</v>
      </c>
      <c r="Z8" s="17" t="s">
        <v>1</v>
      </c>
      <c r="AA8" s="17">
        <v>402</v>
      </c>
      <c r="AB8" s="17">
        <v>5</v>
      </c>
      <c r="AC8" s="17" t="s">
        <v>1</v>
      </c>
      <c r="AD8" s="17" t="s">
        <v>1</v>
      </c>
      <c r="AE8" s="20" t="s">
        <v>45</v>
      </c>
      <c r="AF8" s="20" t="s">
        <v>46</v>
      </c>
    </row>
    <row r="9" spans="2:32" x14ac:dyDescent="0.2">
      <c r="B9" s="16" t="s">
        <v>33</v>
      </c>
      <c r="C9" s="16" t="s">
        <v>28</v>
      </c>
      <c r="D9" s="16" t="s">
        <v>28</v>
      </c>
      <c r="E9" s="17" t="s">
        <v>42</v>
      </c>
      <c r="F9" s="17" t="s">
        <v>43</v>
      </c>
      <c r="G9" s="17" t="s">
        <v>44</v>
      </c>
      <c r="H9" s="17" t="s">
        <v>7</v>
      </c>
      <c r="I9" s="17">
        <v>217444</v>
      </c>
      <c r="J9" s="18">
        <v>217444</v>
      </c>
      <c r="K9" s="17">
        <v>2.7836178500000002</v>
      </c>
      <c r="L9" s="19">
        <v>10.17314803</v>
      </c>
      <c r="M9" s="19">
        <v>2212.09</v>
      </c>
      <c r="N9" s="18">
        <v>605281</v>
      </c>
      <c r="O9" s="17">
        <v>3.65464966</v>
      </c>
      <c r="P9" s="17">
        <v>434</v>
      </c>
      <c r="Q9" s="17">
        <v>5.0969815699999996</v>
      </c>
      <c r="R9" s="17">
        <v>7.1702230000000006E-2</v>
      </c>
      <c r="S9" s="17">
        <v>695</v>
      </c>
      <c r="T9" s="17">
        <v>0.1148227</v>
      </c>
      <c r="U9" s="17">
        <v>3.1828633100000001</v>
      </c>
      <c r="V9" s="17">
        <v>276.51125000000002</v>
      </c>
      <c r="W9" s="17">
        <v>495003</v>
      </c>
      <c r="X9" s="17">
        <v>24428</v>
      </c>
      <c r="Y9" s="17">
        <v>6279</v>
      </c>
      <c r="Z9" s="17">
        <v>2</v>
      </c>
      <c r="AA9" s="17">
        <v>25002</v>
      </c>
      <c r="AB9" s="17">
        <v>109</v>
      </c>
      <c r="AC9" s="17">
        <v>1</v>
      </c>
      <c r="AD9" s="17">
        <v>28</v>
      </c>
      <c r="AE9" s="20" t="s">
        <v>45</v>
      </c>
      <c r="AF9" s="20" t="s">
        <v>46</v>
      </c>
    </row>
    <row r="10" spans="2:32" x14ac:dyDescent="0.2">
      <c r="B10" s="16" t="s">
        <v>33</v>
      </c>
      <c r="C10" s="16" t="s">
        <v>29</v>
      </c>
      <c r="D10" s="16" t="s">
        <v>28</v>
      </c>
      <c r="E10" s="17" t="s">
        <v>1</v>
      </c>
      <c r="F10" s="17" t="s">
        <v>1</v>
      </c>
      <c r="G10" s="17" t="s">
        <v>44</v>
      </c>
      <c r="H10" s="17" t="s">
        <v>7</v>
      </c>
      <c r="I10" s="17">
        <v>217010</v>
      </c>
      <c r="J10" s="18">
        <v>217010</v>
      </c>
      <c r="K10" s="17">
        <v>2.7891848299999999</v>
      </c>
      <c r="L10" s="19">
        <v>10.19349339</v>
      </c>
      <c r="M10" s="19">
        <v>2212.09</v>
      </c>
      <c r="N10" s="18">
        <v>605281</v>
      </c>
      <c r="O10" s="17">
        <v>3.65464966</v>
      </c>
      <c r="P10" s="17">
        <v>434</v>
      </c>
      <c r="Q10" s="17">
        <v>5.0969815699999996</v>
      </c>
      <c r="R10" s="17">
        <v>7.1702230000000006E-2</v>
      </c>
      <c r="S10" s="17">
        <v>695</v>
      </c>
      <c r="T10" s="17">
        <v>0.1148227</v>
      </c>
      <c r="U10" s="17">
        <v>3.1828633100000001</v>
      </c>
      <c r="V10" s="17">
        <v>276.51125000000002</v>
      </c>
      <c r="W10" s="17">
        <v>495003</v>
      </c>
      <c r="X10" s="17">
        <v>24428</v>
      </c>
      <c r="Y10" s="17">
        <v>6279</v>
      </c>
      <c r="Z10" s="17">
        <v>2</v>
      </c>
      <c r="AA10" s="17">
        <v>25002</v>
      </c>
      <c r="AB10" s="17">
        <v>109</v>
      </c>
      <c r="AC10" s="17">
        <v>1</v>
      </c>
      <c r="AD10" s="17">
        <v>28</v>
      </c>
      <c r="AE10" s="20" t="s">
        <v>45</v>
      </c>
      <c r="AF10" s="20" t="s">
        <v>46</v>
      </c>
    </row>
    <row r="11" spans="2:32" x14ac:dyDescent="0.2">
      <c r="B11" s="16" t="s">
        <v>33</v>
      </c>
      <c r="C11" s="16" t="s">
        <v>29</v>
      </c>
      <c r="D11" s="16" t="s">
        <v>30</v>
      </c>
      <c r="E11" s="17" t="s">
        <v>1</v>
      </c>
      <c r="F11" s="17" t="s">
        <v>1</v>
      </c>
      <c r="G11" s="17" t="s">
        <v>44</v>
      </c>
      <c r="H11" s="17" t="s">
        <v>7</v>
      </c>
      <c r="I11" s="17">
        <v>124984</v>
      </c>
      <c r="J11" s="18">
        <v>124984</v>
      </c>
      <c r="K11" s="17">
        <v>2.7735550199999999</v>
      </c>
      <c r="L11" s="19">
        <v>10.120815009999999</v>
      </c>
      <c r="M11" s="19">
        <v>1264.9399437699999</v>
      </c>
      <c r="N11" s="18">
        <v>346650</v>
      </c>
      <c r="O11" s="17">
        <v>3.6490406599999998</v>
      </c>
      <c r="P11" s="17">
        <v>263</v>
      </c>
      <c r="Q11" s="17">
        <v>4.8096575799999997</v>
      </c>
      <c r="R11" s="17">
        <v>7.5869030000000004E-2</v>
      </c>
      <c r="S11" s="17">
        <v>417</v>
      </c>
      <c r="T11" s="17">
        <v>0.12029424</v>
      </c>
      <c r="U11" s="17">
        <v>3.0334291200000001</v>
      </c>
      <c r="V11" s="17">
        <v>252.98798875</v>
      </c>
      <c r="W11" s="17">
        <v>283378</v>
      </c>
      <c r="X11" s="17">
        <v>15372</v>
      </c>
      <c r="Y11" s="17">
        <v>3955</v>
      </c>
      <c r="Z11" s="17">
        <v>2</v>
      </c>
      <c r="AA11" s="17">
        <v>15724</v>
      </c>
      <c r="AB11" s="17">
        <v>73</v>
      </c>
      <c r="AC11" s="17" t="s">
        <v>1</v>
      </c>
      <c r="AD11" s="17">
        <v>14</v>
      </c>
      <c r="AE11" s="20" t="s">
        <v>45</v>
      </c>
      <c r="AF11" s="20" t="s">
        <v>46</v>
      </c>
    </row>
    <row r="12" spans="2:32" x14ac:dyDescent="0.2">
      <c r="B12" s="16" t="s">
        <v>33</v>
      </c>
      <c r="C12" s="16" t="s">
        <v>29</v>
      </c>
      <c r="D12" s="16" t="s">
        <v>31</v>
      </c>
      <c r="E12" s="17" t="s">
        <v>1</v>
      </c>
      <c r="F12" s="17" t="s">
        <v>1</v>
      </c>
      <c r="G12" s="17" t="s">
        <v>44</v>
      </c>
      <c r="H12" s="17" t="s">
        <v>7</v>
      </c>
      <c r="I12" s="17">
        <v>89594</v>
      </c>
      <c r="J12" s="18">
        <v>89594</v>
      </c>
      <c r="K12" s="17">
        <v>2.8122530499999998</v>
      </c>
      <c r="L12" s="19">
        <v>10.293676270000001</v>
      </c>
      <c r="M12" s="19">
        <v>922.25163201999999</v>
      </c>
      <c r="N12" s="18">
        <v>251961</v>
      </c>
      <c r="O12" s="17">
        <v>3.6602951699999999</v>
      </c>
      <c r="P12" s="17">
        <v>168</v>
      </c>
      <c r="Q12" s="17">
        <v>5.4895930499999999</v>
      </c>
      <c r="R12" s="17">
        <v>6.6676990000000005E-2</v>
      </c>
      <c r="S12" s="17">
        <v>274</v>
      </c>
      <c r="T12" s="17">
        <v>0.10874699</v>
      </c>
      <c r="U12" s="17">
        <v>3.3658818699999999</v>
      </c>
      <c r="V12" s="17">
        <v>307.41721066999997</v>
      </c>
      <c r="W12" s="17">
        <v>206234</v>
      </c>
      <c r="X12" s="17">
        <v>8743</v>
      </c>
      <c r="Y12" s="17">
        <v>2246</v>
      </c>
      <c r="Z12" s="17" t="s">
        <v>1</v>
      </c>
      <c r="AA12" s="17">
        <v>8957</v>
      </c>
      <c r="AB12" s="17">
        <v>31</v>
      </c>
      <c r="AC12" s="17">
        <v>1</v>
      </c>
      <c r="AD12" s="17">
        <v>14</v>
      </c>
      <c r="AE12" s="20" t="s">
        <v>45</v>
      </c>
      <c r="AF12" s="20" t="s">
        <v>46</v>
      </c>
    </row>
    <row r="13" spans="2:32" x14ac:dyDescent="0.2">
      <c r="B13" s="16" t="s">
        <v>33</v>
      </c>
      <c r="C13" s="16" t="s">
        <v>29</v>
      </c>
      <c r="D13" s="16" t="s">
        <v>32</v>
      </c>
      <c r="E13" s="17" t="s">
        <v>1</v>
      </c>
      <c r="F13" s="17" t="s">
        <v>1</v>
      </c>
      <c r="G13" s="17" t="s">
        <v>44</v>
      </c>
      <c r="H13" s="17" t="s">
        <v>7</v>
      </c>
      <c r="I13" s="17">
        <v>2432</v>
      </c>
      <c r="J13" s="18">
        <v>2432</v>
      </c>
      <c r="K13" s="17">
        <v>2.74259868</v>
      </c>
      <c r="L13" s="19">
        <v>10.2378389</v>
      </c>
      <c r="M13" s="19">
        <v>24.898424210000002</v>
      </c>
      <c r="N13" s="18">
        <v>6670</v>
      </c>
      <c r="O13" s="17">
        <v>3.7328971800000001</v>
      </c>
      <c r="P13" s="17">
        <v>3</v>
      </c>
      <c r="Q13" s="17">
        <v>8.2994747400000008</v>
      </c>
      <c r="R13" s="17">
        <v>4.4977509999999998E-2</v>
      </c>
      <c r="S13" s="17">
        <v>4</v>
      </c>
      <c r="T13" s="17">
        <v>5.9970009999999997E-2</v>
      </c>
      <c r="U13" s="17">
        <v>6.2246060500000002</v>
      </c>
      <c r="V13" s="17" t="s">
        <v>1</v>
      </c>
      <c r="W13" s="17">
        <v>5391</v>
      </c>
      <c r="X13" s="17">
        <v>313</v>
      </c>
      <c r="Y13" s="17">
        <v>78</v>
      </c>
      <c r="Z13" s="17" t="s">
        <v>1</v>
      </c>
      <c r="AA13" s="17">
        <v>321</v>
      </c>
      <c r="AB13" s="17">
        <v>5</v>
      </c>
      <c r="AC13" s="17" t="s">
        <v>1</v>
      </c>
      <c r="AD13" s="17" t="s">
        <v>1</v>
      </c>
      <c r="AE13" s="20" t="s">
        <v>45</v>
      </c>
      <c r="AF13" s="20" t="s">
        <v>46</v>
      </c>
    </row>
  </sheetData>
  <hyperlinks>
    <hyperlink ref="C1" location="'Formatted Report'!A1" display="This is raw data. See Sheet 1 for a formatted report.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Formatted Report</vt:lpstr>
      <vt:lpstr>per platform</vt:lpstr>
      <vt:lpstr>Raw Data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Tony Xu</cp:lastModifiedBy>
  <cp:revision/>
  <dcterms:created xsi:type="dcterms:W3CDTF">2025-12-12T19:16:04Z</dcterms:created>
  <dcterms:modified xsi:type="dcterms:W3CDTF">2026-01-20T18:41:04Z</dcterms:modified>
  <cp:category/>
  <cp:contentStatus/>
</cp:coreProperties>
</file>